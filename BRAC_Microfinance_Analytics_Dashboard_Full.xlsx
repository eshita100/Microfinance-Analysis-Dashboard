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Dataset" sheetId="1" r:id="rId1"/>
    <sheet name="Monthly_Trend" sheetId="2" r:id="rId2"/>
    <sheet name="Gender_Breakdown" sheetId="3" r:id="rId3"/>
    <sheet name="KPIs" sheetId="4" r:id="rId4"/>
    <sheet name="Visualization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<sst xmlns="http://schemas.openxmlformats.org/spreadsheetml/2006/main" count="52" uniqueCount="43">
  <si>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Region</t>
  </si>
  <si>
    <t>Total_Loans</t>
  </si>
  <si>
    <t>Total_Disbursed</t>
  </si>
  <si>
    <t>Total_Repaid</t>
  </si>
  <si>
    <t>Repayment_Percent</t>
  </si>
  <si>
    <t>Defaults</t>
  </si>
  <si>
    <t>Default_Rate</t>
  </si>
  <si>
    <t>Top_Gender</t>
  </si>
  <si>
    <t>Avg_Loan_Size</t>
  </si>
  <si>
    <t>Dhaka</t>
  </si>
  <si>
    <t>Female</t>
  </si>
  <si>
    <t>Chittagong</t>
  </si>
  <si>
    <t>Male</t>
  </si>
  <si>
    <t>Khulna</t>
  </si>
  <si>
    <t>Rajshahi</t>
  </si>
  <si>
    <t>Sylhet</t>
  </si>
  <si>
    <t>Month</t>
  </si>
  <si>
    <t>Disbursed</t>
  </si>
  <si>
    <t>Repaid</t>
  </si>
  <si>
    <t>2023-01</t>
  </si>
  <si>
    <t>2023-02</t>
  </si>
  <si>
    <t>2023-03</t>
  </si>
  <si>
    <t>2023-04</t>
  </si>
  <si>
    <t>2023-05</t>
  </si>
  <si>
    <t>2023-06</t>
  </si>
  <si>
    <t>Gender</t>
  </si>
  <si>
    <t>KPI</t>
  </si>
  <si>
    <t>Value</t>
  </si>
  <si>
    <t>Formula/Note</t>
  </si>
  <si>
    <t>Total Loans</t>
  </si>
  <si>
    <t>Sum of Total_Loans</t>
  </si>
  <si>
    <t>Total Amount Disbursed</t>
  </si>
  <si>
    <t>Sum of Total_Disbursed</t>
  </si>
  <si>
    <t>Total Amount Repaid</t>
  </si>
  <si>
    <t>Sum of Total_Repaid</t>
  </si>
  <si>
    <t>Average Repayment %</t>
  </si>
  <si>
    <t>Average of regional repayment %</t>
  </si>
  <si>
    <t>Overall Default Rate (%)</t>
  </si>
  <si>
    <t>Weighted default rate</t>
  </si>
  <si>
    <t>Average Loan Size</t>
  </si>
  <si>
    <t>Total disbursed / total loans</t>
  </si>
  <si>
    <t xml:space="preserve"> Microfinance Analysis Dashboard</t>
  </si>
  <si>
    <t>Prepared by: Your Name | Tools: MySQL (simulated) &amp; Excel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</si>
</sst>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22"/>
      <color theme="6" tint="-0.5"/>
      <name val="Arial Rounded MT Bold"/>
      <charset val="134"/>
    </font>
    <font>
      <b/>
      <sz val="18"/>
      <name val="Calibri"/>
      <charset val="134"/>
      <scheme val="minor"/>
    </font>
    <font>
      <b/>
      <sz val="11"/>
      <name val="Calibri"/>
      <charset val="134"/>
      <scheme val="minor"/>
    </font>
    <font>
      <i/>
      <sz val="9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6" tint="0.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right"/>
    </xf>
    <xf numFmtId="0" fontId="4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right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Disbursed vs Repaid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Dataset!$C$1</c:f>
              <c:strCache>
                <c:ptCount val="1"/>
                <c:pt idx="0">
                  <c:v>Total_Disbursed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Dataset!$C$2:$C$6</c:f>
              <c:numCache>
                <c:formatCode>General</c:formatCode>
                <c:ptCount val="5"/>
                <c:pt idx="0">
                  <c:v>125000</c:v>
                </c:pt>
                <c:pt idx="1">
                  <c:v>30000</c:v>
                </c:pt>
                <c:pt idx="2">
                  <c:v>20000</c:v>
                </c:pt>
                <c:pt idx="3">
                  <c:v>40000</c:v>
                </c:pt>
                <c:pt idx="4">
                  <c:v>35000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(৳)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18789a-d191-4d11-a7f0-180b918dfbf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Repayment %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Repayment_Percent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Dataset!$E$2:$E$6</c:f>
              <c:numCache>
                <c:formatCode>General</c:formatCode>
                <c:ptCount val="5"/>
                <c:pt idx="0">
                  <c:v>36</c:v>
                </c:pt>
                <c:pt idx="1">
                  <c:v>100</c:v>
                </c:pt>
                <c:pt idx="2">
                  <c:v>25</c:v>
                </c:pt>
                <c:pt idx="3">
                  <c:v>12.5</c:v>
                </c:pt>
                <c:pt idx="4">
                  <c:v>28.5714285714286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Repayment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e09207-04eb-4040-9915-fe13d8c2ac1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Default Rate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Dataset!$G$1</c:f>
              <c:strCache>
                <c:ptCount val="1"/>
                <c:pt idx="0">
                  <c:v>Default_Rate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Dataset!$G$2:$G$6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Default Rate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cd536a-0ce2-4076-b74c-0a2e5094e49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Share of Disbursed Amount by Region</a:t>
            </a:r>
          </a:p>
        </c:rich>
      </c:tx>
      <c:layout>
        <c:manualLayout>
          <c:xMode val="edge"/>
          <c:yMode val="edge"/>
          <c:x val="0.00437381542498907"/>
          <c:y val="0.00565930956423316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Dataset!$C$1</c:f>
              <c:strCache>
                <c:ptCount val="1"/>
                <c:pt idx="0">
                  <c:v>Total_Disbursed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Dataset!$C$2:$C$6</c:f>
              <c:numCache>
                <c:formatCode>General</c:formatCode>
                <c:ptCount val="5"/>
                <c:pt idx="0">
                  <c:v>125000</c:v>
                </c:pt>
                <c:pt idx="1">
                  <c:v>30000</c:v>
                </c:pt>
                <c:pt idx="2">
                  <c:v>20000</c:v>
                </c:pt>
                <c:pt idx="3">
                  <c:v>40000</c:v>
                </c:pt>
                <c:pt idx="4">
                  <c:v>35000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bb89b0-2de3-4cfe-8f86-fb7351d4c67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Repayment % Trend (Monthly)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Monthly_Trend!$D$1</c:f>
              <c:strCache>
                <c:ptCount val="1"/>
                <c:pt idx="0">
                  <c:v>Repayment_Percent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Monthly_Trend!$A$2:$A$7</c:f>
              <c:strCache>
                <c:ptCount val="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</c:strCache>
            </c:strRef>
          </c:cat>
          <c:val>
            <c:numRef>
              <c:f>Monthly_Trend!$D$2:$D$7</c:f>
              <c:numCache>
                <c:formatCode>General</c:formatCode>
                <c:ptCount val="6"/>
                <c:pt idx="0">
                  <c:v>37.5</c:v>
                </c:pt>
                <c:pt idx="1">
                  <c:v>34.2857142857143</c:v>
                </c:pt>
                <c:pt idx="2">
                  <c:v>55.5555555555556</c:v>
                </c:pt>
                <c:pt idx="3">
                  <c:v>46.6666666666667</c:v>
                </c:pt>
                <c:pt idx="4">
                  <c:v>48</c:v>
                </c:pt>
                <c:pt idx="5">
                  <c:v>11.6129032258065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Repayment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e42102-2d2f-43ef-b1ea-d8f32be08f3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Gender Breakdown (Total Disbursed)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Gender_Breakdown!$C$1</c:f>
              <c:strCache>
                <c:ptCount val="1"/>
                <c:pt idx="0">
                  <c:v>Total_Disbursed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Gender_Breakdown!$A$2:$A$3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Gender_Breakdown!$C$2:$C$3</c:f>
              <c:numCache>
                <c:formatCode>General</c:formatCode>
                <c:ptCount val="2"/>
                <c:pt idx="0">
                  <c:v>195000</c:v>
                </c:pt>
                <c:pt idx="1">
                  <c:v>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35645a-9ae6-4b6c-ba9d-fde4de57436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Disbursed vs Repaid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Dataset!$C$1</c:f>
              <c:strCache>
                <c:ptCount val="1"/>
                <c:pt idx="0">
                  <c:v>Total_Disbursed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Dataset!$C$2:$C$6</c:f>
              <c:numCache>
                <c:formatCode>General</c:formatCode>
                <c:ptCount val="5"/>
                <c:pt idx="0">
                  <c:v>125000</c:v>
                </c:pt>
                <c:pt idx="1">
                  <c:v>30000</c:v>
                </c:pt>
                <c:pt idx="2">
                  <c:v>20000</c:v>
                </c:pt>
                <c:pt idx="3">
                  <c:v>40000</c:v>
                </c:pt>
                <c:pt idx="4">
                  <c:v>35000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(৳)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18789a-d191-4d11-a7f0-180b918dfbf8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Repayment %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Repayment_Percent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Dataset!$E$2:$E$6</c:f>
              <c:numCache>
                <c:formatCode>General</c:formatCode>
                <c:ptCount val="5"/>
                <c:pt idx="0">
                  <c:v>36</c:v>
                </c:pt>
                <c:pt idx="1">
                  <c:v>100</c:v>
                </c:pt>
                <c:pt idx="2">
                  <c:v>25</c:v>
                </c:pt>
                <c:pt idx="3">
                  <c:v>12.5</c:v>
                </c:pt>
                <c:pt idx="4">
                  <c:v>28.5714285714286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Repayment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e09207-04eb-4040-9915-fe13d8c2ac1d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Default Rate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Dataset!$G$1</c:f>
              <c:strCache>
                <c:ptCount val="1"/>
                <c:pt idx="0">
                  <c:v>Default_Rate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Dataset!$G$2:$G$6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Default Rate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cd536a-0ce2-4076-b74c-0a2e5094e494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Repayment % Trend (Monthly)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Monthly_Trend!$D$1</c:f>
              <c:strCache>
                <c:ptCount val="1"/>
                <c:pt idx="0">
                  <c:v>Repayment_Percent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Monthly_Trend!$A$2:$A$7</c:f>
              <c:strCache>
                <c:ptCount val="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</c:strCache>
            </c:strRef>
          </c:cat>
          <c:val>
            <c:numRef>
              <c:f>Monthly_Trend!$D$2:$D$7</c:f>
              <c:numCache>
                <c:formatCode>General</c:formatCode>
                <c:ptCount val="6"/>
                <c:pt idx="0">
                  <c:v>37.5</c:v>
                </c:pt>
                <c:pt idx="1">
                  <c:v>34.2857142857143</c:v>
                </c:pt>
                <c:pt idx="2">
                  <c:v>55.5555555555556</c:v>
                </c:pt>
                <c:pt idx="3">
                  <c:v>46.6666666666667</c:v>
                </c:pt>
                <c:pt idx="4">
                  <c:v>48</c:v>
                </c:pt>
                <c:pt idx="5">
                  <c:v>11.6129032258065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Repayment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e42102-2d2f-43ef-b1ea-d8f32be08f3a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Share of Disbursed Amount by Region</a:t>
            </a:r>
          </a:p>
        </c:rich>
      </c:tx>
      <c:layout>
        <c:manualLayout>
          <c:xMode val="edge"/>
          <c:yMode val="edge"/>
          <c:x val="0.00440981919741291"/>
          <c:y val="0.00550155877498625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Dataset!$C$1</c:f>
              <c:strCache>
                <c:ptCount val="1"/>
                <c:pt idx="0">
                  <c:v>Total_Disbursed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Dataset!$A$2:$A$6</c:f>
              <c:strCache>
                <c:ptCount val="5"/>
                <c:pt idx="0">
                  <c:v>Dhaka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Dataset!$C$2:$C$6</c:f>
              <c:numCache>
                <c:formatCode>General</c:formatCode>
                <c:ptCount val="5"/>
                <c:pt idx="0">
                  <c:v>125000</c:v>
                </c:pt>
                <c:pt idx="1">
                  <c:v>30000</c:v>
                </c:pt>
                <c:pt idx="2">
                  <c:v>20000</c:v>
                </c:pt>
                <c:pt idx="3">
                  <c:v>40000</c:v>
                </c:pt>
                <c:pt idx="4">
                  <c:v>35000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bb89b0-2de3-4cfe-8f86-fb7351d4c677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Gender Breakdown (Total Disbursed)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Gender_Breakdown!$C$1</c:f>
              <c:strCache>
                <c:ptCount val="1"/>
                <c:pt idx="0">
                  <c:v>Total_Disbursed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Gender_Breakdown!$A$2:$A$3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Gender_Breakdown!$C$2:$C$3</c:f>
              <c:numCache>
                <c:formatCode>General</c:formatCode>
                <c:ptCount val="2"/>
                <c:pt idx="0">
                  <c:v>195000</c:v>
                </c:pt>
                <c:pt idx="1">
                  <c:v>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35645a-9ae6-4b6c-ba9d-fde4de57436b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58420</xdr:colOff>
      <xdr:row>12</xdr:row>
      <xdr:rowOff>68580</xdr:rowOff>
    </xdr:from>
    <xdr:ext cx="7200000" cy="4152360"/>
    <xdr:graphicFrame>
      <xdr:nvGraphicFramePr>
        <xdr:cNvPr id="2" name="Chart 1"/>
        <xdr:cNvGraphicFramePr/>
      </xdr:nvGraphicFramePr>
      <xdr:xfrm>
        <a:off x="13637260" y="2263140"/>
        <a:ext cx="719963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185420</xdr:colOff>
      <xdr:row>25</xdr:row>
      <xdr:rowOff>119380</xdr:rowOff>
    </xdr:from>
    <xdr:ext cx="5400000" cy="3462840"/>
    <xdr:graphicFrame>
      <xdr:nvGraphicFramePr>
        <xdr:cNvPr id="3" name="Chart 2"/>
        <xdr:cNvGraphicFramePr/>
      </xdr:nvGraphicFramePr>
      <xdr:xfrm>
        <a:off x="4505960" y="4691380"/>
        <a:ext cx="5399405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</xdr:row>
      <xdr:rowOff>0</xdr:rowOff>
    </xdr:from>
    <xdr:ext cx="5400000" cy="3462840"/>
    <xdr:graphicFrame>
      <xdr:nvGraphicFramePr>
        <xdr:cNvPr id="4" name="Chart 3"/>
        <xdr:cNvGraphicFramePr/>
      </xdr:nvGraphicFramePr>
      <xdr:xfrm>
        <a:off x="7406640" y="182880"/>
        <a:ext cx="5399405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439420</xdr:colOff>
      <xdr:row>0</xdr:row>
      <xdr:rowOff>635</xdr:rowOff>
    </xdr:from>
    <xdr:ext cx="4320000" cy="3462840"/>
    <xdr:graphicFrame>
      <xdr:nvGraphicFramePr>
        <xdr:cNvPr id="5" name="Chart 4"/>
        <xdr:cNvGraphicFramePr/>
      </xdr:nvGraphicFramePr>
      <xdr:xfrm>
        <a:off x="439420" y="635"/>
        <a:ext cx="4319905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464820</xdr:colOff>
      <xdr:row>46</xdr:row>
      <xdr:rowOff>106680</xdr:rowOff>
    </xdr:from>
    <xdr:ext cx="10080000" cy="3462840"/>
    <xdr:graphicFrame>
      <xdr:nvGraphicFramePr>
        <xdr:cNvPr id="6" name="Chart 5"/>
        <xdr:cNvGraphicFramePr/>
      </xdr:nvGraphicFramePr>
      <xdr:xfrm>
        <a:off x="1082040" y="8519160"/>
        <a:ext cx="10079990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24</xdr:col>
      <xdr:colOff>306070</xdr:colOff>
      <xdr:row>40</xdr:row>
      <xdr:rowOff>157480</xdr:rowOff>
    </xdr:from>
    <xdr:ext cx="4320000" cy="3462840"/>
    <xdr:graphicFrame>
      <xdr:nvGraphicFramePr>
        <xdr:cNvPr id="7" name="Chart 6"/>
        <xdr:cNvGraphicFramePr/>
      </xdr:nvGraphicFramePr>
      <xdr:xfrm>
        <a:off x="15119350" y="7472680"/>
        <a:ext cx="4319905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46990</xdr:colOff>
      <xdr:row>10</xdr:row>
      <xdr:rowOff>62230</xdr:rowOff>
    </xdr:from>
    <xdr:ext cx="5363210" cy="2582545"/>
    <xdr:graphicFrame>
      <xdr:nvGraphicFramePr>
        <xdr:cNvPr id="2" name="Chart 1"/>
        <xdr:cNvGraphicFramePr/>
      </xdr:nvGraphicFramePr>
      <xdr:xfrm>
        <a:off x="664210" y="1891030"/>
        <a:ext cx="5363210" cy="2582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586740</xdr:colOff>
      <xdr:row>25</xdr:row>
      <xdr:rowOff>15240</xdr:rowOff>
    </xdr:from>
    <xdr:ext cx="5399405" cy="3462655"/>
    <xdr:graphicFrame>
      <xdr:nvGraphicFramePr>
        <xdr:cNvPr id="3" name="Chart 2"/>
        <xdr:cNvGraphicFramePr/>
      </xdr:nvGraphicFramePr>
      <xdr:xfrm>
        <a:off x="586740" y="4587240"/>
        <a:ext cx="5399405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498475</xdr:colOff>
      <xdr:row>10</xdr:row>
      <xdr:rowOff>24765</xdr:rowOff>
    </xdr:from>
    <xdr:ext cx="6737350" cy="2693035"/>
    <xdr:graphicFrame>
      <xdr:nvGraphicFramePr>
        <xdr:cNvPr id="4" name="Chart 3"/>
        <xdr:cNvGraphicFramePr/>
      </xdr:nvGraphicFramePr>
      <xdr:xfrm>
        <a:off x="10899775" y="1853565"/>
        <a:ext cx="6737350" cy="269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497840</xdr:colOff>
      <xdr:row>25</xdr:row>
      <xdr:rowOff>35560</xdr:rowOff>
    </xdr:from>
    <xdr:ext cx="6765925" cy="3525520"/>
    <xdr:graphicFrame>
      <xdr:nvGraphicFramePr>
        <xdr:cNvPr id="5" name="Chart 4"/>
        <xdr:cNvGraphicFramePr/>
      </xdr:nvGraphicFramePr>
      <xdr:xfrm>
        <a:off x="10899140" y="4607560"/>
        <a:ext cx="6765925" cy="352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273050</xdr:colOff>
      <xdr:row>10</xdr:row>
      <xdr:rowOff>47625</xdr:rowOff>
    </xdr:from>
    <xdr:ext cx="4520565" cy="2652395"/>
    <xdr:graphicFrame>
      <xdr:nvGraphicFramePr>
        <xdr:cNvPr id="6" name="Chart 5"/>
        <xdr:cNvGraphicFramePr/>
      </xdr:nvGraphicFramePr>
      <xdr:xfrm>
        <a:off x="6239510" y="1876425"/>
        <a:ext cx="4520565" cy="2652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7</xdr:col>
      <xdr:colOff>701040</xdr:colOff>
      <xdr:row>7</xdr:row>
      <xdr:rowOff>36830</xdr:rowOff>
    </xdr:from>
    <xdr:to>
      <xdr:col>8</xdr:col>
      <xdr:colOff>313690</xdr:colOff>
      <xdr:row>9</xdr:row>
      <xdr:rowOff>20955</xdr:rowOff>
    </xdr:to>
    <xdr:sp>
      <xdr:nvSpPr>
        <xdr:cNvPr id="8" name="Text Box 7"/>
        <xdr:cNvSpPr txBox="1"/>
      </xdr:nvSpPr>
      <xdr:spPr>
        <a:xfrm>
          <a:off x="11102340" y="1316990"/>
          <a:ext cx="1365250" cy="349885"/>
        </a:xfrm>
        <a:prstGeom prst="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Total Loans	7</a:t>
          </a:r>
          <a:endParaRPr lang="en-US" sz="1100" b="1"/>
        </a:p>
      </xdr:txBody>
    </xdr:sp>
    <xdr:clientData/>
  </xdr:twoCellAnchor>
  <xdr:twoCellAnchor>
    <xdr:from>
      <xdr:col>1</xdr:col>
      <xdr:colOff>103505</xdr:colOff>
      <xdr:row>7</xdr:row>
      <xdr:rowOff>40005</xdr:rowOff>
    </xdr:from>
    <xdr:to>
      <xdr:col>1</xdr:col>
      <xdr:colOff>2489200</xdr:colOff>
      <xdr:row>9</xdr:row>
      <xdr:rowOff>36195</xdr:rowOff>
    </xdr:to>
    <xdr:sp>
      <xdr:nvSpPr>
        <xdr:cNvPr id="9" name="Text Box 8"/>
        <xdr:cNvSpPr txBox="1"/>
      </xdr:nvSpPr>
      <xdr:spPr>
        <a:xfrm>
          <a:off x="720725" y="1320165"/>
          <a:ext cx="2385695" cy="361950"/>
        </a:xfrm>
        <a:prstGeom prst="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Repayment Ratio (%)	40.41</a:t>
          </a:r>
          <a:endParaRPr lang="en-US" sz="1100" b="1"/>
        </a:p>
      </xdr:txBody>
    </xdr:sp>
    <xdr:clientData/>
  </xdr:twoCellAnchor>
  <xdr:twoCellAnchor>
    <xdr:from>
      <xdr:col>1</xdr:col>
      <xdr:colOff>2583180</xdr:colOff>
      <xdr:row>7</xdr:row>
      <xdr:rowOff>50165</xdr:rowOff>
    </xdr:from>
    <xdr:to>
      <xdr:col>2</xdr:col>
      <xdr:colOff>1075055</xdr:colOff>
      <xdr:row>9</xdr:row>
      <xdr:rowOff>22860</xdr:rowOff>
    </xdr:to>
    <xdr:sp>
      <xdr:nvSpPr>
        <xdr:cNvPr id="10" name="Text Box 9"/>
        <xdr:cNvSpPr txBox="1"/>
      </xdr:nvSpPr>
      <xdr:spPr>
        <a:xfrm>
          <a:off x="3200400" y="1330325"/>
          <a:ext cx="2606675" cy="338455"/>
        </a:xfrm>
        <a:prstGeom prst="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Total Amount Disbursed (৳)	250000</a:t>
          </a:r>
          <a:endParaRPr lang="en-US" sz="1100" b="1"/>
        </a:p>
      </xdr:txBody>
    </xdr:sp>
    <xdr:clientData/>
  </xdr:twoCellAnchor>
  <xdr:twoCellAnchor>
    <xdr:from>
      <xdr:col>2</xdr:col>
      <xdr:colOff>1202690</xdr:colOff>
      <xdr:row>7</xdr:row>
      <xdr:rowOff>73660</xdr:rowOff>
    </xdr:from>
    <xdr:to>
      <xdr:col>4</xdr:col>
      <xdr:colOff>1758950</xdr:colOff>
      <xdr:row>9</xdr:row>
      <xdr:rowOff>44450</xdr:rowOff>
    </xdr:to>
    <xdr:sp>
      <xdr:nvSpPr>
        <xdr:cNvPr id="11" name="Text Box 10"/>
        <xdr:cNvSpPr txBox="1"/>
      </xdr:nvSpPr>
      <xdr:spPr>
        <a:xfrm>
          <a:off x="5934710" y="1353820"/>
          <a:ext cx="2407920" cy="336550"/>
        </a:xfrm>
        <a:prstGeom prst="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Average Repayment  %   95000</a:t>
          </a:r>
          <a:endParaRPr lang="en-US" sz="1100" b="1"/>
        </a:p>
      </xdr:txBody>
    </xdr:sp>
    <xdr:clientData/>
  </xdr:twoCellAnchor>
  <xdr:twoCellAnchor>
    <xdr:from>
      <xdr:col>4</xdr:col>
      <xdr:colOff>1901190</xdr:colOff>
      <xdr:row>7</xdr:row>
      <xdr:rowOff>75565</xdr:rowOff>
    </xdr:from>
    <xdr:to>
      <xdr:col>7</xdr:col>
      <xdr:colOff>585470</xdr:colOff>
      <xdr:row>9</xdr:row>
      <xdr:rowOff>27305</xdr:rowOff>
    </xdr:to>
    <xdr:sp>
      <xdr:nvSpPr>
        <xdr:cNvPr id="12" name="Text Box 11"/>
        <xdr:cNvSpPr txBox="1"/>
      </xdr:nvSpPr>
      <xdr:spPr>
        <a:xfrm>
          <a:off x="8484870" y="1355725"/>
          <a:ext cx="2501900" cy="317500"/>
        </a:xfrm>
        <a:prstGeom prst="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Total Amount Repaid (৳)	95000</a:t>
          </a:r>
          <a:endParaRPr lang="en-US" sz="1100" b="1"/>
        </a:p>
      </xdr:txBody>
    </xdr:sp>
    <xdr:clientData/>
  </xdr:twoCellAnchor>
  <xdr:oneCellAnchor>
    <xdr:from>
      <xdr:col>3</xdr:col>
      <xdr:colOff>203835</xdr:colOff>
      <xdr:row>25</xdr:row>
      <xdr:rowOff>62865</xdr:rowOff>
    </xdr:from>
    <xdr:ext cx="4598035" cy="3307715"/>
    <xdr:graphicFrame>
      <xdr:nvGraphicFramePr>
        <xdr:cNvPr id="13" name="Chart 12"/>
        <xdr:cNvGraphicFramePr/>
      </xdr:nvGraphicFramePr>
      <xdr:xfrm>
        <a:off x="6170295" y="4634865"/>
        <a:ext cx="4598035" cy="3307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C22" sqref="C22"/>
    </sheetView>
  </sheetViews>
  <sheetFormatPr defaultColWidth="9" defaultRowHeight="14.4" outlineLevelRow="5"/>
  <cols>
    <col min="1" max="1" width="15" customWidth="1"/>
    <col min="2" max="2" width="12" customWidth="1"/>
    <col min="3" max="3" width="16" customWidth="1"/>
    <col min="4" max="4" width="14" customWidth="1"/>
    <col min="5" max="5" width="18" customWidth="1"/>
    <col min="6" max="6" width="10" customWidth="1"/>
    <col min="7" max="7" width="14" customWidth="1"/>
    <col min="8" max="8" width="12" customWidth="1"/>
    <col min="9" max="9" width="14" customWidth="1"/>
  </cols>
  <sheetData>
    <row r="1" spans="1:9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>
      <c r="A2" t="s">
        <v>9</v>
      </c>
      <c r="B2">
        <v>3</v>
      </c>
      <c r="C2">
        <v>125000</v>
      </c>
      <c r="D2">
        <v>45000</v>
      </c>
      <c r="E2">
        <f>IF(C2=0,0,D2/C2*100)</f>
        <v>36</v>
      </c>
      <c r="F2">
        <v>0</v>
      </c>
      <c r="G2">
        <f>IF(B2=0,0,F2/B2*100)</f>
        <v>0</v>
      </c>
      <c r="H2" t="s">
        <v>10</v>
      </c>
      <c r="I2">
        <v>41666.6666666667</v>
      </c>
    </row>
    <row r="3" spans="1:9">
      <c r="A3" t="s">
        <v>11</v>
      </c>
      <c r="B3">
        <v>1</v>
      </c>
      <c r="C3">
        <v>30000</v>
      </c>
      <c r="D3">
        <v>30000</v>
      </c>
      <c r="E3">
        <f>IF(C3=0,0,D3/C3*100)</f>
        <v>100</v>
      </c>
      <c r="F3">
        <v>0</v>
      </c>
      <c r="G3">
        <f>IF(B3=0,0,F3/B3*100)</f>
        <v>0</v>
      </c>
      <c r="H3" t="s">
        <v>12</v>
      </c>
      <c r="I3">
        <v>30000</v>
      </c>
    </row>
    <row r="4" spans="1:9">
      <c r="A4" t="s">
        <v>13</v>
      </c>
      <c r="B4">
        <v>1</v>
      </c>
      <c r="C4">
        <v>20000</v>
      </c>
      <c r="D4">
        <v>5000</v>
      </c>
      <c r="E4">
        <f>IF(C4=0,0,D4/C4*100)</f>
        <v>25</v>
      </c>
      <c r="F4">
        <v>0</v>
      </c>
      <c r="G4">
        <f>IF(B4=0,0,F4/B4*100)</f>
        <v>0</v>
      </c>
      <c r="H4" t="s">
        <v>10</v>
      </c>
      <c r="I4">
        <v>20000</v>
      </c>
    </row>
    <row r="5" spans="1:9">
      <c r="A5" t="s">
        <v>14</v>
      </c>
      <c r="B5">
        <v>1</v>
      </c>
      <c r="C5">
        <v>40000</v>
      </c>
      <c r="D5">
        <v>5000</v>
      </c>
      <c r="E5">
        <f>IF(C5=0,0,D5/C5*100)</f>
        <v>12.5</v>
      </c>
      <c r="F5">
        <v>1</v>
      </c>
      <c r="G5">
        <f>IF(B5=0,0,F5/B5*100)</f>
        <v>100</v>
      </c>
      <c r="H5" t="s">
        <v>12</v>
      </c>
      <c r="I5">
        <v>40000</v>
      </c>
    </row>
    <row r="6" spans="1:9">
      <c r="A6" t="s">
        <v>15</v>
      </c>
      <c r="B6">
        <v>1</v>
      </c>
      <c r="C6">
        <v>35000</v>
      </c>
      <c r="D6">
        <v>10000</v>
      </c>
      <c r="E6">
        <f>IF(C6=0,0,D6/C6*100)</f>
        <v>28.5714285714286</v>
      </c>
      <c r="F6">
        <v>0</v>
      </c>
      <c r="G6">
        <f>IF(B6=0,0,F6/B6*100)</f>
        <v>0</v>
      </c>
      <c r="H6" t="s">
        <v>10</v>
      </c>
      <c r="I6">
        <v>35000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30" sqref="D30"/>
    </sheetView>
  </sheetViews>
  <sheetFormatPr defaultColWidth="9" defaultRowHeight="14.4" outlineLevelRow="6" outlineLevelCol="3"/>
  <cols>
    <col min="1" max="3" width="12" customWidth="1"/>
    <col min="4" max="4" width="18" customWidth="1"/>
  </cols>
  <sheetData>
    <row r="1" spans="1:4">
      <c r="A1" s="19" t="s">
        <v>16</v>
      </c>
      <c r="B1" s="19" t="s">
        <v>17</v>
      </c>
      <c r="C1" s="19" t="s">
        <v>18</v>
      </c>
      <c r="D1" s="19" t="s">
        <v>4</v>
      </c>
    </row>
    <row r="2" spans="1:4">
      <c r="A2" t="s">
        <v>19</v>
      </c>
      <c r="B2">
        <v>40000</v>
      </c>
      <c r="C2">
        <v>15000</v>
      </c>
      <c r="D2">
        <f t="shared" ref="D2:D7" si="0">IF(B2=0,0,C2/B2*100)</f>
        <v>37.5</v>
      </c>
    </row>
    <row r="3" spans="1:4">
      <c r="A3" t="s">
        <v>20</v>
      </c>
      <c r="B3">
        <v>35000</v>
      </c>
      <c r="C3">
        <v>12000</v>
      </c>
      <c r="D3">
        <f t="shared" si="0"/>
        <v>34.2857142857143</v>
      </c>
    </row>
    <row r="4" spans="1:4">
      <c r="A4" t="s">
        <v>21</v>
      </c>
      <c r="B4">
        <v>45000</v>
      </c>
      <c r="C4">
        <v>25000</v>
      </c>
      <c r="D4">
        <f t="shared" si="0"/>
        <v>55.5555555555556</v>
      </c>
    </row>
    <row r="5" spans="1:4">
      <c r="A5" t="s">
        <v>22</v>
      </c>
      <c r="B5">
        <v>30000</v>
      </c>
      <c r="C5">
        <v>14000</v>
      </c>
      <c r="D5">
        <f t="shared" si="0"/>
        <v>46.6666666666667</v>
      </c>
    </row>
    <row r="6" spans="1:4">
      <c r="A6" t="s">
        <v>23</v>
      </c>
      <c r="B6">
        <v>25000</v>
      </c>
      <c r="C6">
        <v>12000</v>
      </c>
      <c r="D6">
        <f t="shared" si="0"/>
        <v>48</v>
      </c>
    </row>
    <row r="7" spans="1:4">
      <c r="A7" t="s">
        <v>24</v>
      </c>
      <c r="B7">
        <v>155000</v>
      </c>
      <c r="C7">
        <v>18000</v>
      </c>
      <c r="D7">
        <f t="shared" si="0"/>
        <v>11.6129032258065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.4" outlineLevelRow="2" outlineLevelCol="3"/>
  <cols>
    <col min="1" max="1" width="12" customWidth="1"/>
    <col min="2" max="2" width="14" customWidth="1"/>
    <col min="3" max="3" width="16" customWidth="1"/>
    <col min="4" max="4" width="14" customWidth="1"/>
  </cols>
  <sheetData>
    <row r="1" spans="1:4">
      <c r="A1" s="19" t="s">
        <v>25</v>
      </c>
      <c r="B1" s="19" t="s">
        <v>1</v>
      </c>
      <c r="C1" s="19" t="s">
        <v>2</v>
      </c>
      <c r="D1" s="19" t="s">
        <v>3</v>
      </c>
    </row>
    <row r="2" spans="1:4">
      <c r="A2" t="s">
        <v>10</v>
      </c>
      <c r="B2">
        <v>4</v>
      </c>
      <c r="C2">
        <v>195000</v>
      </c>
      <c r="D2">
        <v>65000</v>
      </c>
    </row>
    <row r="3" spans="1:4">
      <c r="A3" t="s">
        <v>12</v>
      </c>
      <c r="B3">
        <v>2</v>
      </c>
      <c r="C3">
        <v>50000</v>
      </c>
      <c r="D3">
        <v>30000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5" sqref="B5"/>
    </sheetView>
  </sheetViews>
  <sheetFormatPr defaultColWidth="9" defaultRowHeight="14.4" outlineLevelRow="6" outlineLevelCol="2"/>
  <cols>
    <col min="1" max="1" width="28" customWidth="1"/>
    <col min="2" max="2" width="19.5555555555556" style="16" customWidth="1"/>
    <col min="3" max="3" width="40" customWidth="1"/>
  </cols>
  <sheetData>
    <row r="1" spans="1:3">
      <c r="A1" s="17" t="s">
        <v>26</v>
      </c>
      <c r="B1" s="18" t="s">
        <v>27</v>
      </c>
      <c r="C1" s="17" t="s">
        <v>28</v>
      </c>
    </row>
    <row r="2" spans="1:3">
      <c r="A2" t="s">
        <v>29</v>
      </c>
      <c r="B2" s="16">
        <f>SUM(Dataset!B2:B6)</f>
        <v>7</v>
      </c>
      <c r="C2" t="s">
        <v>30</v>
      </c>
    </row>
    <row r="3" spans="1:3">
      <c r="A3" t="s">
        <v>31</v>
      </c>
      <c r="B3" s="16">
        <f>SUM(Dataset!C2:C6)</f>
        <v>250000</v>
      </c>
      <c r="C3" t="s">
        <v>32</v>
      </c>
    </row>
    <row r="4" spans="1:3">
      <c r="A4" t="s">
        <v>33</v>
      </c>
      <c r="B4" s="16">
        <f>SUM(Dataset!D2:D6)</f>
        <v>95000</v>
      </c>
      <c r="C4" t="s">
        <v>34</v>
      </c>
    </row>
    <row r="5" spans="1:3">
      <c r="A5" t="s">
        <v>35</v>
      </c>
      <c r="B5" s="16">
        <f>AVERAGE(Dataset!E2:E6)</f>
        <v>40.4142857142857</v>
      </c>
      <c r="C5" t="s">
        <v>36</v>
      </c>
    </row>
    <row r="6" spans="1:3">
      <c r="A6" t="s">
        <v>37</v>
      </c>
      <c r="B6" s="16">
        <f>SUM(Dataset!F2:F6)/SUM(Dataset!B2:B6)*100</f>
        <v>14.2857142857143</v>
      </c>
      <c r="C6" t="s">
        <v>38</v>
      </c>
    </row>
    <row r="7" spans="1:3">
      <c r="A7" t="s">
        <v>39</v>
      </c>
      <c r="B7" s="16">
        <f>IF(SUM(Dataset!B2:B6)=0,0,SUM(Dataset!C2:C6)/SUM(Dataset!B2:B6))</f>
        <v>35714.2857142857</v>
      </c>
      <c r="C7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zoomScale="60" zoomScaleNormal="60" workbookViewId="0">
      <selection activeCell="L3" sqref="L3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58"/>
  <sheetViews>
    <sheetView showGridLines="0" zoomScale="60" zoomScaleNormal="60" workbookViewId="0">
      <selection activeCell="P48" sqref="P48"/>
    </sheetView>
  </sheetViews>
  <sheetFormatPr defaultColWidth="9" defaultRowHeight="14.4"/>
  <cols>
    <col min="2" max="2" width="60" customWidth="1"/>
    <col min="3" max="3" width="18" customWidth="1"/>
    <col min="5" max="5" width="28.6666666666667" customWidth="1"/>
    <col min="6" max="6" width="18" customWidth="1"/>
    <col min="8" max="8" width="25.5555555555556" customWidth="1"/>
    <col min="9" max="9" width="18" customWidth="1"/>
  </cols>
  <sheetData>
    <row r="2" spans="2:16">
      <c r="B2" s="1" t="s">
        <v>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2"/>
    </row>
    <row r="3" spans="2:16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3"/>
    </row>
    <row r="4" spans="2:16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3"/>
    </row>
    <row r="5" spans="2:16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3"/>
    </row>
    <row r="6" spans="2:16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4"/>
    </row>
    <row r="7" spans="1:21">
      <c r="A7" s="7"/>
      <c r="B7" s="8"/>
      <c r="C7" s="9"/>
      <c r="D7" s="10"/>
      <c r="E7" s="8"/>
      <c r="F7" s="9"/>
      <c r="G7" s="10"/>
      <c r="H7" s="8"/>
      <c r="I7" s="9"/>
      <c r="J7" s="10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7"/>
      <c r="B9" s="7"/>
      <c r="C9" s="7"/>
      <c r="D9" s="7"/>
      <c r="E9" s="7"/>
      <c r="F9" s="7"/>
      <c r="G9" s="7"/>
      <c r="H9" s="7"/>
      <c r="I9" s="1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8" spans="2:2">
      <c r="B58" s="11" t="s">
        <v>42</v>
      </c>
    </row>
  </sheetData>
  <mergeCells count="1">
    <mergeCell ref="B2:P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Dataset</vt:lpstr>
      <vt:lpstr>Monthly_Trend</vt:lpstr>
      <vt:lpstr>Gender_Breakdown</vt:lpstr>
      <vt:lpstr>KPIs</vt:lpstr>
      <vt:lpstr>Visualizations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Farhana Sultana</cp:lastModifiedBy>
  <dcterms:created xsi:type="dcterms:W3CDTF">2025-10-18T05:56:00Z</dcterms:created>
  <dcterms:modified xsi:type="dcterms:W3CDTF">2025-10-18T10:43:30Z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C48B98B4B60A4AEEB5DEBF5BAB988A10_13</vt:lpwstr>
  </property>
</Properties>
</file>